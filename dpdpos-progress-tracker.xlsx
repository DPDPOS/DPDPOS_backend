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eveloper Assignment" sheetId="2" r:id="rId6"/>
    <sheet state="visible" name="Feature Progress" sheetId="3" r:id="rId7"/>
    <sheet state="visible" name="Integration Tracker" sheetId="4" r:id="rId8"/>
    <sheet state="visible" name="API Tracker" sheetId="5" r:id="rId9"/>
    <sheet state="visible" name="Database Tracker" sheetId="6" r:id="rId10"/>
    <sheet state="visible" name="Event &amp; Queue Tracker" sheetId="7" r:id="rId11"/>
    <sheet state="visible" name="Merge Checklist" sheetId="8" r:id="rId12"/>
  </sheets>
  <definedNames/>
  <calcPr/>
</workbook>
</file>

<file path=xl/sharedStrings.xml><?xml version="1.0" encoding="utf-8"?>
<sst xmlns="http://schemas.openxmlformats.org/spreadsheetml/2006/main" count="819" uniqueCount="308">
  <si>
    <t>DPDPOS - Three-Developer Build Tracker</t>
  </si>
  <si>
    <t>Feature</t>
  </si>
  <si>
    <t>How to use this workbook throughout the build.</t>
  </si>
  <si>
    <t>Module</t>
  </si>
  <si>
    <t>Owner</t>
  </si>
  <si>
    <t>This workbook has one tab per tracking concern. All tabs are cross-referenced by Module / Feature name - keep those names</t>
  </si>
  <si>
    <t>identical across tabs so the summary formulas already built into each sheet keep working.</t>
  </si>
  <si>
    <t>Dependency</t>
  </si>
  <si>
    <t>Start Date</t>
  </si>
  <si>
    <t>COLOR LEGEND</t>
  </si>
  <si>
    <t>Target Date</t>
  </si>
  <si>
    <t>Status</t>
  </si>
  <si>
    <t xml:space="preserve">  - Yellow-filled cells = update these as work progresses (Status, Completion %, Blockers, Ready/Integrated/Tested flags, PR/Merge status).</t>
  </si>
  <si>
    <t>Completion %</t>
  </si>
  <si>
    <t xml:space="preserve">  - Blue Owner cells = Developer A modules.  Green Owner cells = Developer B modules.  Orange Owner cells = Developer C modules.</t>
  </si>
  <si>
    <t>Branch</t>
  </si>
  <si>
    <t>Current Stage</t>
  </si>
  <si>
    <t xml:space="preserve">  - All other cells are fixed planning data agreed at architecture sign-off - edit only if the architecture itself changes.</t>
  </si>
  <si>
    <t>Blockers</t>
  </si>
  <si>
    <t>Authentication &amp; Session Management</t>
  </si>
  <si>
    <t>TAB GUIDE</t>
  </si>
  <si>
    <t xml:space="preserve">  1. Developer Assignment   - who owns each feature/module, its dependency, and its integration branch.</t>
  </si>
  <si>
    <t xml:space="preserve">  2. Feature Progress       - live status: start/target dates, % complete, current stage, blockers. Update weekly.</t>
  </si>
  <si>
    <t xml:space="preserve">  3. Integration Tracker    - per-module readiness gate: integrated into develop yet, tested end-to-end yet.</t>
  </si>
  <si>
    <t>2026-07-27</t>
  </si>
  <si>
    <t xml:space="preserve">  4. API Tracker            - every planned REST endpoint, its owning module/developer, and build status.</t>
  </si>
  <si>
    <t>auth</t>
  </si>
  <si>
    <t>Developer A</t>
  </si>
  <si>
    <t xml:space="preserve">  5. Database Tracker       - every Prisma/Postgres table, its owning module/developer, and migration status.</t>
  </si>
  <si>
    <t>2026-08-03</t>
  </si>
  <si>
    <t xml:space="preserve">  6. Event &amp; Queue Tracker  - every domain event and BullMQ queue, its publisher, its consumer(s), and status.</t>
  </si>
  <si>
    <t>users, roles</t>
  </si>
  <si>
    <t>Not Started</t>
  </si>
  <si>
    <t xml:space="preserve">  7. Merge Checklist        - one row per PR/branch. Add a new row for every branch opened; do not overwrite history.</t>
  </si>
  <si>
    <t>Depends On</t>
  </si>
  <si>
    <t>feature/a/auth</t>
  </si>
  <si>
    <t>None</t>
  </si>
  <si>
    <t>User Management</t>
  </si>
  <si>
    <t>RECOMMENDED CADENCE</t>
  </si>
  <si>
    <t>users</t>
  </si>
  <si>
    <t>Ready For Integration</t>
  </si>
  <si>
    <t xml:space="preserve">  - Update 'Feature Progress' and 'Merge Checklist' at the end of every working day.</t>
  </si>
  <si>
    <t>2026-07-31</t>
  </si>
  <si>
    <t>organizations, roles</t>
  </si>
  <si>
    <t>Integrated</t>
  </si>
  <si>
    <t>Tested</t>
  </si>
  <si>
    <t xml:space="preserve">  - Review 'Integration Tracker' at the start of every week to confirm the current integration phase is on track.</t>
  </si>
  <si>
    <t>feature/a/users</t>
  </si>
  <si>
    <t xml:space="preserve">  - Treat 'Developer Assignment', 'API Tracker', and 'Database Tracker' as the source of truth for scope - if a table or</t>
  </si>
  <si>
    <t>Role &amp; Permission Management (RBAC)</t>
  </si>
  <si>
    <t xml:space="preserve">    endpoint isn't listed there, confirm ownership with the Lead Architect before building it.</t>
  </si>
  <si>
    <t>No</t>
  </si>
  <si>
    <t>roles</t>
  </si>
  <si>
    <t>organizations</t>
  </si>
  <si>
    <t>Organization / Tenant Management</t>
  </si>
  <si>
    <t>feature/a/roles</t>
  </si>
  <si>
    <t>2026-07-30</t>
  </si>
  <si>
    <t>Department Management</t>
  </si>
  <si>
    <t>(root - no dependency)</t>
  </si>
  <si>
    <t>2026-08-04</t>
  </si>
  <si>
    <t>feature/a/organizations</t>
  </si>
  <si>
    <t>departments</t>
  </si>
  <si>
    <t>Waiting on Organizations core (same owner)</t>
  </si>
  <si>
    <t>organizations, users</t>
  </si>
  <si>
    <t>Framework Builder &amp; Roadmap</t>
  </si>
  <si>
    <t>2026-08-10</t>
  </si>
  <si>
    <t>feature/a/departments</t>
  </si>
  <si>
    <t>2026-08-19</t>
  </si>
  <si>
    <t>framework</t>
  </si>
  <si>
    <t>Control Library</t>
  </si>
  <si>
    <t>feature/a/framework</t>
  </si>
  <si>
    <t>2026-08-17</t>
  </si>
  <si>
    <t>2026-08-24</t>
  </si>
  <si>
    <t>controls</t>
  </si>
  <si>
    <t>Waiting on Framework module</t>
  </si>
  <si>
    <t>requirements</t>
  </si>
  <si>
    <t>Obligation / Requirement Register</t>
  </si>
  <si>
    <t>framework, controls</t>
  </si>
  <si>
    <t>feature/a/controls</t>
  </si>
  <si>
    <t>2026-08-26</t>
  </si>
  <si>
    <t>inventory</t>
  </si>
  <si>
    <t>organizations, departments</t>
  </si>
  <si>
    <t>Data Inventory (Assets &amp; Processing Activities)</t>
  </si>
  <si>
    <t>consent</t>
  </si>
  <si>
    <t>2026-08-07</t>
  </si>
  <si>
    <t>organizations, inventory</t>
  </si>
  <si>
    <t>feature/a/requirements</t>
  </si>
  <si>
    <t>rights</t>
  </si>
  <si>
    <t>Notice &amp; Consent Management</t>
  </si>
  <si>
    <t>Developer B</t>
  </si>
  <si>
    <t>2026-08-12</t>
  </si>
  <si>
    <t>validations</t>
  </si>
  <si>
    <t>framework, controls (read-only), inventory, consent, rights, evidence (read-only)</t>
  </si>
  <si>
    <t>Waiting on Inventory (asset/purpose reference)</t>
  </si>
  <si>
    <t>Data Principal Rights Requests</t>
  </si>
  <si>
    <t>violations</t>
  </si>
  <si>
    <t>2026-08-05</t>
  </si>
  <si>
    <t>feature/b/inventory</t>
  </si>
  <si>
    <t>2026-08-14</t>
  </si>
  <si>
    <t>remediation</t>
  </si>
  <si>
    <t>Validation / Rule Engine</t>
  </si>
  <si>
    <t>evidence</t>
  </si>
  <si>
    <t>organizations, controls</t>
  </si>
  <si>
    <t>feature/b/consent</t>
  </si>
  <si>
    <t>Waiting on Framework &amp; Controls read interfaces (Dev A)</t>
  </si>
  <si>
    <t>reports</t>
  </si>
  <si>
    <t>validations, violations, evidence, analytics</t>
  </si>
  <si>
    <t>Violation Management</t>
  </si>
  <si>
    <t>2026-09-04</t>
  </si>
  <si>
    <t>analytics</t>
  </si>
  <si>
    <t>validations, violations, evidence</t>
  </si>
  <si>
    <t>Waiting on Validations (ValidationFailed event)</t>
  </si>
  <si>
    <t>Remediation Task Tracking</t>
  </si>
  <si>
    <t>2026-08-31</t>
  </si>
  <si>
    <t>feature/b/rights</t>
  </si>
  <si>
    <t>notifications</t>
  </si>
  <si>
    <t>organizations, users, events (all modules)</t>
  </si>
  <si>
    <t>Waiting on Violations</t>
  </si>
  <si>
    <t>ai</t>
  </si>
  <si>
    <t>framework, validations, evidence (read via events)</t>
  </si>
  <si>
    <t>Evidence Vault</t>
  </si>
  <si>
    <t>audit</t>
  </si>
  <si>
    <t>events (all modules)</t>
  </si>
  <si>
    <t>feature/b/validations</t>
  </si>
  <si>
    <t>Report Generator &amp; Board Packs</t>
  </si>
  <si>
    <t>Ready for integration (count)</t>
  </si>
  <si>
    <t>2026-09-11</t>
  </si>
  <si>
    <t>Waiting on Validations/Violations/Evidence/Analytics data</t>
  </si>
  <si>
    <t>Analytics &amp; Compliance Dashboards</t>
  </si>
  <si>
    <t>feature/b/violations</t>
  </si>
  <si>
    <t>Endpoint</t>
  </si>
  <si>
    <t>Waiting on Validations/Violations/Evidence data</t>
  </si>
  <si>
    <t>Notification System</t>
  </si>
  <si>
    <t>POST /api/v1/auth/login</t>
  </si>
  <si>
    <t>feature/b/remediation</t>
  </si>
  <si>
    <t>Handlers blocked on each producer's events landing</t>
  </si>
  <si>
    <t>AI Assistance (Summarize / Draft / Explain)</t>
  </si>
  <si>
    <t>Developer C</t>
  </si>
  <si>
    <t>Integrated (count)</t>
  </si>
  <si>
    <t>POST /api/v1/auth/refresh</t>
  </si>
  <si>
    <t>Waiting on Framework/Validations/Evidence read interfaces</t>
  </si>
  <si>
    <t>Audit Logging</t>
  </si>
  <si>
    <t>2026-07-29</t>
  </si>
  <si>
    <t>Tested (count)</t>
  </si>
  <si>
    <t>POST /api/v1/auth/logout</t>
  </si>
  <si>
    <t>feature/c/evidence</t>
  </si>
  <si>
    <t>Waiting on event contracts from every module (incremental)</t>
  </si>
  <si>
    <t>Overall completion</t>
  </si>
  <si>
    <t>POST /api/v1/auth/mfa/verify</t>
  </si>
  <si>
    <t>feature/c/reports</t>
  </si>
  <si>
    <t>GET /api/v1/users</t>
  </si>
  <si>
    <t>POST /api/v1/users</t>
  </si>
  <si>
    <t>feature/c/analytics</t>
  </si>
  <si>
    <t>PATCH /api/v1/users/:id</t>
  </si>
  <si>
    <t>GET /api/v1/roles</t>
  </si>
  <si>
    <t>POST /api/v1/roles</t>
  </si>
  <si>
    <t>feature/c/notifications</t>
  </si>
  <si>
    <t>PATCH /api/v1/roles/:id/permissions</t>
  </si>
  <si>
    <t>feature/c/ai</t>
  </si>
  <si>
    <t>POST /api/v1/organizations</t>
  </si>
  <si>
    <t>feature/c/audit</t>
  </si>
  <si>
    <t>Summary - modules per developer</t>
  </si>
  <si>
    <t>GET /api/v1/organizations/:id</t>
  </si>
  <si>
    <t>PATCH /api/v1/organizations/:id</t>
  </si>
  <si>
    <t>GET /api/v1/departments</t>
  </si>
  <si>
    <t>POST /api/v1/departments</t>
  </si>
  <si>
    <t>POST /api/v1/framework/generate</t>
  </si>
  <si>
    <t>GET /api/v1/framework/roadmap</t>
  </si>
  <si>
    <t>GET /api/v1/controls</t>
  </si>
  <si>
    <t>POST /api/v1/controls</t>
  </si>
  <si>
    <t>PATCH /api/v1/controls/:id</t>
  </si>
  <si>
    <t>GET /api/v1/requirements</t>
  </si>
  <si>
    <t>Table</t>
  </si>
  <si>
    <t>POST /api/v1/requirements</t>
  </si>
  <si>
    <t>Migration Complete</t>
  </si>
  <si>
    <t>GET /api/v1/data-assets</t>
  </si>
  <si>
    <t>POST /api/v1/data-assets</t>
  </si>
  <si>
    <t>data_assets</t>
  </si>
  <si>
    <t>GET /api/v1/processing-activities</t>
  </si>
  <si>
    <t>processing_activities</t>
  </si>
  <si>
    <t>GET /api/v1/notices</t>
  </si>
  <si>
    <t>POST /api/v1/consent-records</t>
  </si>
  <si>
    <t>POST /api/v1/consent-records/:id/withdraw</t>
  </si>
  <si>
    <t>notices</t>
  </si>
  <si>
    <t>consent_records</t>
  </si>
  <si>
    <t>POST /api/v1/data-subject-requests</t>
  </si>
  <si>
    <t>data_subject_requests</t>
  </si>
  <si>
    <t>GET /api/v1/data-subject-requests</t>
  </si>
  <si>
    <t>validation_rules</t>
  </si>
  <si>
    <t>PATCH /api/v1/data-subject-requests/:id</t>
  </si>
  <si>
    <t>validation_runs</t>
  </si>
  <si>
    <t>POST /api/v1/validations/run</t>
  </si>
  <si>
    <t>validation_results</t>
  </si>
  <si>
    <t>GET /api/v1/validations/results</t>
  </si>
  <si>
    <t>Event/Queue</t>
  </si>
  <si>
    <t>Publisher</t>
  </si>
  <si>
    <t>Consumer</t>
  </si>
  <si>
    <t>GET /api/v1/violations</t>
  </si>
  <si>
    <t>remediation_tasks</t>
  </si>
  <si>
    <t>OrganizationCreated</t>
  </si>
  <si>
    <t>organizations (Dev A)</t>
  </si>
  <si>
    <t>PATCH /api/v1/violations/:id/assign</t>
  </si>
  <si>
    <t>notifications (Dev C), audit (Dev C)</t>
  </si>
  <si>
    <t>evidence_files</t>
  </si>
  <si>
    <t>Planned</t>
  </si>
  <si>
    <t>UserInvited</t>
  </si>
  <si>
    <t>users (Dev A)</t>
  </si>
  <si>
    <t>RoleAssigned</t>
  </si>
  <si>
    <t>PATCH /api/v1/violations/:id/close</t>
  </si>
  <si>
    <t>roles (Dev A)</t>
  </si>
  <si>
    <t>audit (Dev C)</t>
  </si>
  <si>
    <t>ai_usage_logs</t>
  </si>
  <si>
    <t>FrameworkPublished</t>
  </si>
  <si>
    <t>framework (Dev A)</t>
  </si>
  <si>
    <t>audit_logs</t>
  </si>
  <si>
    <t>analytics (Dev C), audit (Dev C)</t>
  </si>
  <si>
    <t>outbox_events</t>
  </si>
  <si>
    <t>DataAssetCreated</t>
  </si>
  <si>
    <t>(shared infra)</t>
  </si>
  <si>
    <t>inventory (Dev B)</t>
  </si>
  <si>
    <t>GET /api/v1/remediation-tasks</t>
  </si>
  <si>
    <t>validations (Dev B), audit (Dev C)</t>
  </si>
  <si>
    <t>ConsentRecorded</t>
  </si>
  <si>
    <t>consent (Dev B)</t>
  </si>
  <si>
    <t>PATCH /api/v1/remediation-tasks/:id</t>
  </si>
  <si>
    <t>ConsentWithdrawn</t>
  </si>
  <si>
    <t>validations (Dev B), notifications (Dev C), audit (Dev C)</t>
  </si>
  <si>
    <t>POST /api/v1/evidence</t>
  </si>
  <si>
    <t>RightsRequestSubmitted</t>
  </si>
  <si>
    <t>rights (Dev B)</t>
  </si>
  <si>
    <t>GET /api/v1/evidence/:id</t>
  </si>
  <si>
    <t>RightsRequestClosed</t>
  </si>
  <si>
    <t>PATCH /api/v1/evidence/:id/approve</t>
  </si>
  <si>
    <t>audit (Dev C), analytics (Dev C)</t>
  </si>
  <si>
    <t>ValidationCompleted</t>
  </si>
  <si>
    <t>POST /api/v1/reports/generate</t>
  </si>
  <si>
    <t>validations (Dev B)</t>
  </si>
  <si>
    <t>GET /api/v1/reports</t>
  </si>
  <si>
    <t>ValidationFailed</t>
  </si>
  <si>
    <t>Reviewer</t>
  </si>
  <si>
    <t>violations (Dev B), ai (Dev C), audit (Dev C)</t>
  </si>
  <si>
    <t>PR Status</t>
  </si>
  <si>
    <t>Merge Status</t>
  </si>
  <si>
    <t>Notes</t>
  </si>
  <si>
    <t>ViolationCreated</t>
  </si>
  <si>
    <t>violations (Dev B)</t>
  </si>
  <si>
    <t>feature/shared/contracts-kickoff</t>
  </si>
  <si>
    <t>GET /api/v1/analytics/dashboard</t>
  </si>
  <si>
    <t>Developer A, Developer B, Developer C</t>
  </si>
  <si>
    <t>notifications (Dev C), ai (Dev C), audit (Dev C), analytics (Dev C)</t>
  </si>
  <si>
    <t>Open</t>
  </si>
  <si>
    <t>Not Merged</t>
  </si>
  <si>
    <t>Phase 0 shared interface contracts - must merge first, blocks everyone</t>
  </si>
  <si>
    <t>ViolationClosed</t>
  </si>
  <si>
    <t>feature/a/organizations/tenant-crud</t>
  </si>
  <si>
    <t>Developer B, Developer C</t>
  </si>
  <si>
    <t>RemediationTaskAssigned</t>
  </si>
  <si>
    <t>Blocks tenant-scoped repositories for both other streams</t>
  </si>
  <si>
    <t>remediation (Dev B)</t>
  </si>
  <si>
    <t>GET /api/v1/analytics/compliance-score</t>
  </si>
  <si>
    <t>feature/a/auth/contract-and-guard</t>
  </si>
  <si>
    <t>RemediationCompleted</t>
  </si>
  <si>
    <t>RequestContext + PermissionGuard interface; full JWT/MFA follows in a later PR</t>
  </si>
  <si>
    <t>feature/a/roles/permission-catalog</t>
  </si>
  <si>
    <t>EvidenceUploaded</t>
  </si>
  <si>
    <t>Freezes the resource:action permission-string catalog</t>
  </si>
  <si>
    <t>feature/a/departments/core-crud</t>
  </si>
  <si>
    <t>evidence (Dev C)</t>
  </si>
  <si>
    <t>GET /api/v1/notifications</t>
  </si>
  <si>
    <t>validations (Dev B, evidence_required_flag), audit (Dev C)</t>
  </si>
  <si>
    <t>EvidenceApproved</t>
  </si>
  <si>
    <t>Must land before inventory migration (FK dependency)</t>
  </si>
  <si>
    <t>ReportRequested</t>
  </si>
  <si>
    <t>reports (Dev C)</t>
  </si>
  <si>
    <t>feature/b/inventory/core-crud</t>
  </si>
  <si>
    <t>report-queue (internal)</t>
  </si>
  <si>
    <t>ReportGenerated</t>
  </si>
  <si>
    <t>PATCH /api/v1/notifications/preferences</t>
  </si>
  <si>
    <t>Independent of Dev A after departments FK lands</t>
  </si>
  <si>
    <t>feature/c/evidence/core-crud</t>
  </si>
  <si>
    <t>AiSummaryReady</t>
  </si>
  <si>
    <t>POST /api/v1/ai/explain</t>
  </si>
  <si>
    <t>ai (Dev C)</t>
  </si>
  <si>
    <t>notifications (Dev C)</t>
  </si>
  <si>
    <t>validation-queue</t>
  </si>
  <si>
    <t>Independent of both other streams from Day 1</t>
  </si>
  <si>
    <t>validation worker pool</t>
  </si>
  <si>
    <t>POST /api/v1/ai/draft-notice</t>
  </si>
  <si>
    <t>feature/c/notifications/channel-adapters</t>
  </si>
  <si>
    <t>GET /api/v1/audit-logs</t>
  </si>
  <si>
    <t>Independent scaffolding; handlers wired once producer events exist</t>
  </si>
  <si>
    <t>report-queue</t>
  </si>
  <si>
    <t>GET /api/v1/audit-logs/export</t>
  </si>
  <si>
    <t>report worker pool</t>
  </si>
  <si>
    <t>notification-queue</t>
  </si>
  <si>
    <t>notification worker pool</t>
  </si>
  <si>
    <t>ai-queue</t>
  </si>
  <si>
    <t>ai worker pool</t>
  </si>
  <si>
    <t>audit-queue</t>
  </si>
  <si>
    <t>audit worker pool</t>
  </si>
  <si>
    <t>retention-queue</t>
  </si>
  <si>
    <t>shared infra (Dev A)</t>
  </si>
  <si>
    <t>consumed by Dev B and Dev C retention jobs</t>
  </si>
  <si>
    <t>export-queue</t>
  </si>
  <si>
    <t>export worker pool</t>
  </si>
  <si>
    <t>event-relay-queue</t>
  </si>
  <si>
    <t>shared infra / outbox (Dev A)</t>
  </si>
  <si>
    <t>internal outbox relay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</si>
</sst>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7">
    <font>
      <sz val="11.0"/>
      <color theme="1"/>
      <name val="Calibri"/>
      <scheme val="minor"/>
    </font>
    <font>
      <b/>
      <sz val="14.0"/>
      <color rgb="FF1F4E78"/>
      <name val="Arial"/>
    </font>
    <font>
      <b/>
      <sz val="11.0"/>
      <color rgb="FFFFFFFF"/>
      <name val="Arial"/>
    </font>
    <font>
      <i/>
      <sz val="10.0"/>
      <color rgb="FF595959"/>
      <name val="Arial"/>
    </font>
    <font>
      <sz val="10.0"/>
      <color theme="1"/>
      <name val="Arial"/>
    </font>
    <font>
      <b/>
      <sz val="11.0"/>
      <color rgb="FF1F4E78"/>
      <name val="Arial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4" fontId="4" numFmtId="9" xfId="0" applyAlignment="1" applyBorder="1" applyFill="1" applyFont="1" applyNumberFormat="1">
      <alignment shrinkToFit="0" vertical="top" wrapText="1"/>
    </xf>
    <xf borderId="1" fillId="4" fontId="4" numFmtId="0" xfId="0" applyAlignment="1" applyBorder="1" applyFon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2" fillId="6" fontId="6" numFmtId="0" xfId="0" applyAlignment="1" applyBorder="1" applyFill="1" applyFont="1">
      <alignment shrinkToFit="0" vertical="bottom" wrapText="0"/>
    </xf>
    <xf borderId="1" fillId="7" fontId="6" numFmtId="0" xfId="0" applyAlignment="1" applyBorder="1" applyFill="1" applyFont="1">
      <alignment shrinkToFit="0" vertical="top" wrapText="1"/>
    </xf>
    <xf borderId="2" fillId="6" fontId="6" numFmtId="9" xfId="0" applyAlignment="1" applyBorder="1" applyFont="1" applyNumberForma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6" fontId="4" numFmtId="0" xfId="0" applyAlignment="1" applyBorder="1" applyFont="1">
      <alignment shrinkToFit="0" vertical="bottom" wrapText="0"/>
    </xf>
    <xf borderId="2" fillId="5" fontId="6" numFmtId="0" xfId="0" applyAlignment="1" applyBorder="1" applyFont="1">
      <alignment shrinkToFit="0" vertical="bottom" wrapText="0"/>
    </xf>
    <xf borderId="2" fillId="7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26" width="8.71"/>
  </cols>
  <sheetData>
    <row r="1">
      <c r="A1" s="1" t="s">
        <v>0</v>
      </c>
    </row>
    <row r="2">
      <c r="A2" s="3" t="s">
        <v>2</v>
      </c>
    </row>
    <row r="3">
      <c r="A3" s="4"/>
    </row>
    <row r="4">
      <c r="A4" s="4" t="s">
        <v>5</v>
      </c>
    </row>
    <row r="5">
      <c r="A5" s="4" t="s">
        <v>6</v>
      </c>
    </row>
    <row r="6">
      <c r="A6" s="4"/>
    </row>
    <row r="7">
      <c r="A7" s="5" t="s">
        <v>9</v>
      </c>
    </row>
    <row r="8">
      <c r="A8" s="4" t="s">
        <v>12</v>
      </c>
    </row>
    <row r="9">
      <c r="A9" s="4" t="s">
        <v>14</v>
      </c>
    </row>
    <row r="10">
      <c r="A10" s="4" t="s">
        <v>17</v>
      </c>
    </row>
    <row r="11">
      <c r="A11" s="4"/>
    </row>
    <row r="12">
      <c r="A12" s="5" t="s">
        <v>20</v>
      </c>
    </row>
    <row r="13">
      <c r="A13" s="4" t="s">
        <v>21</v>
      </c>
    </row>
    <row r="14">
      <c r="A14" s="4" t="s">
        <v>22</v>
      </c>
    </row>
    <row r="15">
      <c r="A15" s="4" t="s">
        <v>23</v>
      </c>
    </row>
    <row r="16">
      <c r="A16" s="4" t="s">
        <v>25</v>
      </c>
    </row>
    <row r="17">
      <c r="A17" s="4" t="s">
        <v>28</v>
      </c>
    </row>
    <row r="18">
      <c r="A18" s="4" t="s">
        <v>30</v>
      </c>
    </row>
    <row r="19">
      <c r="A19" s="4" t="s">
        <v>33</v>
      </c>
    </row>
    <row r="20">
      <c r="A20" s="4"/>
    </row>
    <row r="21" ht="15.75" customHeight="1">
      <c r="A21" s="5" t="s">
        <v>38</v>
      </c>
    </row>
    <row r="22" ht="15.75" customHeight="1">
      <c r="A22" s="4" t="s">
        <v>41</v>
      </c>
    </row>
    <row r="23" ht="15.75" customHeight="1">
      <c r="A23" s="4" t="s">
        <v>46</v>
      </c>
    </row>
    <row r="24" ht="15.75" customHeight="1">
      <c r="A24" s="4" t="s">
        <v>48</v>
      </c>
    </row>
    <row r="25" ht="15.75" customHeight="1">
      <c r="A25" s="4" t="s">
        <v>50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6.0"/>
    <col customWidth="1" min="3" max="3" width="14.0"/>
    <col customWidth="1" min="4" max="4" width="45.0"/>
    <col customWidth="1" min="5" max="5" width="14.0"/>
    <col customWidth="1" min="6" max="6" width="26.0"/>
    <col customWidth="1" min="7" max="26" width="8.71"/>
  </cols>
  <sheetData>
    <row r="1">
      <c r="A1" s="2" t="s">
        <v>1</v>
      </c>
      <c r="B1" s="2" t="s">
        <v>3</v>
      </c>
      <c r="C1" s="2" t="s">
        <v>4</v>
      </c>
      <c r="D1" s="2" t="s">
        <v>7</v>
      </c>
      <c r="E1" s="2" t="s">
        <v>11</v>
      </c>
      <c r="F1" s="2" t="s">
        <v>15</v>
      </c>
    </row>
    <row r="2">
      <c r="A2" s="6" t="s">
        <v>19</v>
      </c>
      <c r="B2" s="6" t="s">
        <v>26</v>
      </c>
      <c r="C2" s="8" t="s">
        <v>27</v>
      </c>
      <c r="D2" s="6" t="s">
        <v>31</v>
      </c>
      <c r="E2" s="10" t="s">
        <v>32</v>
      </c>
      <c r="F2" s="6" t="s">
        <v>35</v>
      </c>
    </row>
    <row r="3">
      <c r="A3" s="6" t="s">
        <v>37</v>
      </c>
      <c r="B3" s="6" t="s">
        <v>39</v>
      </c>
      <c r="C3" s="8" t="s">
        <v>27</v>
      </c>
      <c r="D3" s="6" t="s">
        <v>43</v>
      </c>
      <c r="E3" s="10" t="s">
        <v>32</v>
      </c>
      <c r="F3" s="6" t="s">
        <v>47</v>
      </c>
    </row>
    <row r="4">
      <c r="A4" s="6" t="s">
        <v>49</v>
      </c>
      <c r="B4" s="6" t="s">
        <v>52</v>
      </c>
      <c r="C4" s="8" t="s">
        <v>27</v>
      </c>
      <c r="D4" s="6" t="s">
        <v>53</v>
      </c>
      <c r="E4" s="10" t="s">
        <v>32</v>
      </c>
      <c r="F4" s="6" t="s">
        <v>55</v>
      </c>
    </row>
    <row r="5">
      <c r="A5" s="6" t="s">
        <v>54</v>
      </c>
      <c r="B5" s="6" t="s">
        <v>53</v>
      </c>
      <c r="C5" s="8" t="s">
        <v>27</v>
      </c>
      <c r="D5" s="6" t="s">
        <v>58</v>
      </c>
      <c r="E5" s="10" t="s">
        <v>32</v>
      </c>
      <c r="F5" s="6" t="s">
        <v>60</v>
      </c>
    </row>
    <row r="6">
      <c r="A6" s="6" t="s">
        <v>57</v>
      </c>
      <c r="B6" s="6" t="s">
        <v>61</v>
      </c>
      <c r="C6" s="8" t="s">
        <v>27</v>
      </c>
      <c r="D6" s="6" t="s">
        <v>63</v>
      </c>
      <c r="E6" s="10" t="s">
        <v>32</v>
      </c>
      <c r="F6" s="6" t="s">
        <v>66</v>
      </c>
    </row>
    <row r="7">
      <c r="A7" s="6" t="s">
        <v>64</v>
      </c>
      <c r="B7" s="6" t="s">
        <v>68</v>
      </c>
      <c r="C7" s="8" t="s">
        <v>27</v>
      </c>
      <c r="D7" s="6" t="s">
        <v>53</v>
      </c>
      <c r="E7" s="10" t="s">
        <v>32</v>
      </c>
      <c r="F7" s="6" t="s">
        <v>70</v>
      </c>
    </row>
    <row r="8">
      <c r="A8" s="6" t="s">
        <v>69</v>
      </c>
      <c r="B8" s="6" t="s">
        <v>73</v>
      </c>
      <c r="C8" s="8" t="s">
        <v>27</v>
      </c>
      <c r="D8" s="6" t="s">
        <v>68</v>
      </c>
      <c r="E8" s="10" t="s">
        <v>32</v>
      </c>
      <c r="F8" s="6" t="s">
        <v>78</v>
      </c>
    </row>
    <row r="9">
      <c r="A9" s="6" t="s">
        <v>76</v>
      </c>
      <c r="B9" s="6" t="s">
        <v>75</v>
      </c>
      <c r="C9" s="8" t="s">
        <v>27</v>
      </c>
      <c r="D9" s="6" t="s">
        <v>77</v>
      </c>
      <c r="E9" s="10" t="s">
        <v>32</v>
      </c>
      <c r="F9" s="6" t="s">
        <v>86</v>
      </c>
    </row>
    <row r="10">
      <c r="A10" s="6" t="s">
        <v>82</v>
      </c>
      <c r="B10" s="6" t="s">
        <v>80</v>
      </c>
      <c r="C10" s="11" t="s">
        <v>89</v>
      </c>
      <c r="D10" s="6" t="s">
        <v>81</v>
      </c>
      <c r="E10" s="10" t="s">
        <v>32</v>
      </c>
      <c r="F10" s="6" t="s">
        <v>97</v>
      </c>
    </row>
    <row r="11">
      <c r="A11" s="6" t="s">
        <v>88</v>
      </c>
      <c r="B11" s="6" t="s">
        <v>83</v>
      </c>
      <c r="C11" s="11" t="s">
        <v>89</v>
      </c>
      <c r="D11" s="6" t="s">
        <v>85</v>
      </c>
      <c r="E11" s="10" t="s">
        <v>32</v>
      </c>
      <c r="F11" s="6" t="s">
        <v>103</v>
      </c>
    </row>
    <row r="12">
      <c r="A12" s="6" t="s">
        <v>94</v>
      </c>
      <c r="B12" s="6" t="s">
        <v>87</v>
      </c>
      <c r="C12" s="11" t="s">
        <v>89</v>
      </c>
      <c r="D12" s="6" t="s">
        <v>63</v>
      </c>
      <c r="E12" s="10" t="s">
        <v>32</v>
      </c>
      <c r="F12" s="6" t="s">
        <v>114</v>
      </c>
    </row>
    <row r="13">
      <c r="A13" s="6" t="s">
        <v>100</v>
      </c>
      <c r="B13" s="6" t="s">
        <v>91</v>
      </c>
      <c r="C13" s="11" t="s">
        <v>89</v>
      </c>
      <c r="D13" s="6" t="s">
        <v>92</v>
      </c>
      <c r="E13" s="10" t="s">
        <v>32</v>
      </c>
      <c r="F13" s="6" t="s">
        <v>123</v>
      </c>
    </row>
    <row r="14">
      <c r="A14" s="6" t="s">
        <v>107</v>
      </c>
      <c r="B14" s="6" t="s">
        <v>95</v>
      </c>
      <c r="C14" s="11" t="s">
        <v>89</v>
      </c>
      <c r="D14" s="6" t="s">
        <v>91</v>
      </c>
      <c r="E14" s="10" t="s">
        <v>32</v>
      </c>
      <c r="F14" s="6" t="s">
        <v>129</v>
      </c>
    </row>
    <row r="15">
      <c r="A15" s="6" t="s">
        <v>112</v>
      </c>
      <c r="B15" s="6" t="s">
        <v>99</v>
      </c>
      <c r="C15" s="11" t="s">
        <v>89</v>
      </c>
      <c r="D15" s="6" t="s">
        <v>95</v>
      </c>
      <c r="E15" s="10" t="s">
        <v>32</v>
      </c>
      <c r="F15" s="6" t="s">
        <v>134</v>
      </c>
    </row>
    <row r="16">
      <c r="A16" s="6" t="s">
        <v>120</v>
      </c>
      <c r="B16" s="6" t="s">
        <v>101</v>
      </c>
      <c r="C16" s="14" t="s">
        <v>137</v>
      </c>
      <c r="D16" s="6" t="s">
        <v>102</v>
      </c>
      <c r="E16" s="10" t="s">
        <v>32</v>
      </c>
      <c r="F16" s="6" t="s">
        <v>145</v>
      </c>
    </row>
    <row r="17">
      <c r="A17" s="6" t="s">
        <v>124</v>
      </c>
      <c r="B17" s="6" t="s">
        <v>105</v>
      </c>
      <c r="C17" s="14" t="s">
        <v>137</v>
      </c>
      <c r="D17" s="6" t="s">
        <v>106</v>
      </c>
      <c r="E17" s="10" t="s">
        <v>32</v>
      </c>
      <c r="F17" s="6" t="s">
        <v>149</v>
      </c>
    </row>
    <row r="18">
      <c r="A18" s="6" t="s">
        <v>128</v>
      </c>
      <c r="B18" s="6" t="s">
        <v>109</v>
      </c>
      <c r="C18" s="14" t="s">
        <v>137</v>
      </c>
      <c r="D18" s="6" t="s">
        <v>110</v>
      </c>
      <c r="E18" s="10" t="s">
        <v>32</v>
      </c>
      <c r="F18" s="6" t="s">
        <v>152</v>
      </c>
    </row>
    <row r="19">
      <c r="A19" s="6" t="s">
        <v>132</v>
      </c>
      <c r="B19" s="6" t="s">
        <v>115</v>
      </c>
      <c r="C19" s="14" t="s">
        <v>137</v>
      </c>
      <c r="D19" s="6" t="s">
        <v>116</v>
      </c>
      <c r="E19" s="10" t="s">
        <v>32</v>
      </c>
      <c r="F19" s="6" t="s">
        <v>156</v>
      </c>
    </row>
    <row r="20">
      <c r="A20" s="6" t="s">
        <v>136</v>
      </c>
      <c r="B20" s="6" t="s">
        <v>118</v>
      </c>
      <c r="C20" s="14" t="s">
        <v>137</v>
      </c>
      <c r="D20" s="6" t="s">
        <v>119</v>
      </c>
      <c r="E20" s="10" t="s">
        <v>32</v>
      </c>
      <c r="F20" s="6" t="s">
        <v>158</v>
      </c>
    </row>
    <row r="21" ht="15.75" customHeight="1">
      <c r="A21" s="6" t="s">
        <v>141</v>
      </c>
      <c r="B21" s="6" t="s">
        <v>121</v>
      </c>
      <c r="C21" s="14" t="s">
        <v>137</v>
      </c>
      <c r="D21" s="6" t="s">
        <v>122</v>
      </c>
      <c r="E21" s="10" t="s">
        <v>32</v>
      </c>
      <c r="F21" s="6" t="s">
        <v>160</v>
      </c>
    </row>
    <row r="22" ht="15.75" customHeight="1"/>
    <row r="23" ht="15.75" customHeight="1"/>
    <row r="24" ht="15.75" customHeight="1">
      <c r="A24" s="12" t="s">
        <v>161</v>
      </c>
    </row>
    <row r="25" ht="15.75" customHeight="1">
      <c r="A25" s="16" t="s">
        <v>27</v>
      </c>
      <c r="B25" s="17">
        <f>COUNTIF(C2:C21,A25)</f>
        <v>8</v>
      </c>
    </row>
    <row r="26" ht="15.75" customHeight="1">
      <c r="A26" s="18" t="s">
        <v>89</v>
      </c>
      <c r="B26" s="17">
        <f>COUNTIF(C2:C21,A26)</f>
        <v>6</v>
      </c>
    </row>
    <row r="27" ht="15.75" customHeight="1">
      <c r="A27" s="19" t="s">
        <v>137</v>
      </c>
      <c r="B27" s="17">
        <f>COUNTIF(C2:C21,A27)</f>
        <v>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4" width="14.0"/>
    <col customWidth="1" min="5" max="5" width="18.0"/>
    <col customWidth="1" min="6" max="6" width="55.0"/>
    <col customWidth="1" min="7" max="26" width="8.71"/>
  </cols>
  <sheetData>
    <row r="1">
      <c r="A1" s="2" t="s">
        <v>1</v>
      </c>
      <c r="B1" s="2" t="s">
        <v>8</v>
      </c>
      <c r="C1" s="2" t="s">
        <v>10</v>
      </c>
      <c r="D1" s="2" t="s">
        <v>13</v>
      </c>
      <c r="E1" s="2" t="s">
        <v>16</v>
      </c>
      <c r="F1" s="2" t="s">
        <v>18</v>
      </c>
    </row>
    <row r="2">
      <c r="A2" s="6" t="s">
        <v>19</v>
      </c>
      <c r="B2" s="7" t="s">
        <v>24</v>
      </c>
      <c r="C2" s="7" t="s">
        <v>29</v>
      </c>
      <c r="D2" s="9">
        <v>0.0</v>
      </c>
      <c r="E2" s="10" t="s">
        <v>32</v>
      </c>
      <c r="F2" s="10" t="s">
        <v>36</v>
      </c>
    </row>
    <row r="3">
      <c r="A3" s="6" t="s">
        <v>37</v>
      </c>
      <c r="B3" s="7" t="s">
        <v>24</v>
      </c>
      <c r="C3" s="7" t="s">
        <v>42</v>
      </c>
      <c r="D3" s="9">
        <v>0.0</v>
      </c>
      <c r="E3" s="10" t="s">
        <v>32</v>
      </c>
      <c r="F3" s="10" t="s">
        <v>36</v>
      </c>
    </row>
    <row r="4">
      <c r="A4" s="6" t="s">
        <v>49</v>
      </c>
      <c r="B4" s="7" t="s">
        <v>24</v>
      </c>
      <c r="C4" s="7" t="s">
        <v>42</v>
      </c>
      <c r="D4" s="9">
        <v>0.0</v>
      </c>
      <c r="E4" s="10" t="s">
        <v>32</v>
      </c>
      <c r="F4" s="10" t="s">
        <v>36</v>
      </c>
    </row>
    <row r="5">
      <c r="A5" s="6" t="s">
        <v>54</v>
      </c>
      <c r="B5" s="7" t="s">
        <v>24</v>
      </c>
      <c r="C5" s="7" t="s">
        <v>56</v>
      </c>
      <c r="D5" s="9">
        <v>0.0</v>
      </c>
      <c r="E5" s="10" t="s">
        <v>32</v>
      </c>
      <c r="F5" s="10" t="s">
        <v>36</v>
      </c>
    </row>
    <row r="6">
      <c r="A6" s="6" t="s">
        <v>57</v>
      </c>
      <c r="B6" s="7" t="s">
        <v>42</v>
      </c>
      <c r="C6" s="7" t="s">
        <v>59</v>
      </c>
      <c r="D6" s="9">
        <v>0.0</v>
      </c>
      <c r="E6" s="10" t="s">
        <v>32</v>
      </c>
      <c r="F6" s="10" t="s">
        <v>62</v>
      </c>
    </row>
    <row r="7">
      <c r="A7" s="6" t="s">
        <v>64</v>
      </c>
      <c r="B7" s="7" t="s">
        <v>65</v>
      </c>
      <c r="C7" s="7" t="s">
        <v>67</v>
      </c>
      <c r="D7" s="9">
        <v>0.0</v>
      </c>
      <c r="E7" s="10" t="s">
        <v>32</v>
      </c>
      <c r="F7" s="10" t="s">
        <v>36</v>
      </c>
    </row>
    <row r="8">
      <c r="A8" s="6" t="s">
        <v>69</v>
      </c>
      <c r="B8" s="7" t="s">
        <v>71</v>
      </c>
      <c r="C8" s="7" t="s">
        <v>72</v>
      </c>
      <c r="D8" s="9">
        <v>0.0</v>
      </c>
      <c r="E8" s="10" t="s">
        <v>32</v>
      </c>
      <c r="F8" s="10" t="s">
        <v>74</v>
      </c>
    </row>
    <row r="9">
      <c r="A9" s="6" t="s">
        <v>76</v>
      </c>
      <c r="B9" s="7" t="s">
        <v>67</v>
      </c>
      <c r="C9" s="7" t="s">
        <v>79</v>
      </c>
      <c r="D9" s="9">
        <v>0.0</v>
      </c>
      <c r="E9" s="10" t="s">
        <v>32</v>
      </c>
      <c r="F9" s="10" t="s">
        <v>74</v>
      </c>
    </row>
    <row r="10">
      <c r="A10" s="6" t="s">
        <v>82</v>
      </c>
      <c r="B10" s="7" t="s">
        <v>24</v>
      </c>
      <c r="C10" s="7" t="s">
        <v>84</v>
      </c>
      <c r="D10" s="9">
        <v>0.0</v>
      </c>
      <c r="E10" s="10" t="s">
        <v>32</v>
      </c>
      <c r="F10" s="10" t="s">
        <v>36</v>
      </c>
    </row>
    <row r="11">
      <c r="A11" s="6" t="s">
        <v>88</v>
      </c>
      <c r="B11" s="7" t="s">
        <v>29</v>
      </c>
      <c r="C11" s="7" t="s">
        <v>90</v>
      </c>
      <c r="D11" s="9">
        <v>0.0</v>
      </c>
      <c r="E11" s="10" t="s">
        <v>32</v>
      </c>
      <c r="F11" s="10" t="s">
        <v>93</v>
      </c>
    </row>
    <row r="12">
      <c r="A12" s="6" t="s">
        <v>94</v>
      </c>
      <c r="B12" s="7" t="s">
        <v>96</v>
      </c>
      <c r="C12" s="7" t="s">
        <v>98</v>
      </c>
      <c r="D12" s="9">
        <v>0.0</v>
      </c>
      <c r="E12" s="10" t="s">
        <v>32</v>
      </c>
      <c r="F12" s="10" t="s">
        <v>36</v>
      </c>
    </row>
    <row r="13">
      <c r="A13" s="6" t="s">
        <v>100</v>
      </c>
      <c r="B13" s="7" t="s">
        <v>90</v>
      </c>
      <c r="C13" s="7" t="s">
        <v>79</v>
      </c>
      <c r="D13" s="9">
        <v>0.0</v>
      </c>
      <c r="E13" s="10" t="s">
        <v>32</v>
      </c>
      <c r="F13" s="10" t="s">
        <v>104</v>
      </c>
    </row>
    <row r="14">
      <c r="A14" s="6" t="s">
        <v>107</v>
      </c>
      <c r="B14" s="7" t="s">
        <v>79</v>
      </c>
      <c r="C14" s="7" t="s">
        <v>108</v>
      </c>
      <c r="D14" s="9">
        <v>0.0</v>
      </c>
      <c r="E14" s="10" t="s">
        <v>32</v>
      </c>
      <c r="F14" s="10" t="s">
        <v>111</v>
      </c>
    </row>
    <row r="15">
      <c r="A15" s="6" t="s">
        <v>112</v>
      </c>
      <c r="B15" s="7" t="s">
        <v>113</v>
      </c>
      <c r="C15" s="7" t="s">
        <v>108</v>
      </c>
      <c r="D15" s="9">
        <v>0.0</v>
      </c>
      <c r="E15" s="10" t="s">
        <v>32</v>
      </c>
      <c r="F15" s="10" t="s">
        <v>117</v>
      </c>
    </row>
    <row r="16">
      <c r="A16" s="6" t="s">
        <v>120</v>
      </c>
      <c r="B16" s="7" t="s">
        <v>24</v>
      </c>
      <c r="C16" s="7" t="s">
        <v>65</v>
      </c>
      <c r="D16" s="9">
        <v>0.0</v>
      </c>
      <c r="E16" s="10" t="s">
        <v>32</v>
      </c>
      <c r="F16" s="10" t="s">
        <v>36</v>
      </c>
    </row>
    <row r="17">
      <c r="A17" s="6" t="s">
        <v>124</v>
      </c>
      <c r="B17" s="7" t="s">
        <v>72</v>
      </c>
      <c r="C17" s="7" t="s">
        <v>126</v>
      </c>
      <c r="D17" s="9">
        <v>0.0</v>
      </c>
      <c r="E17" s="10" t="s">
        <v>32</v>
      </c>
      <c r="F17" s="10" t="s">
        <v>127</v>
      </c>
    </row>
    <row r="18">
      <c r="A18" s="6" t="s">
        <v>128</v>
      </c>
      <c r="B18" s="7" t="s">
        <v>72</v>
      </c>
      <c r="C18" s="7" t="s">
        <v>126</v>
      </c>
      <c r="D18" s="9">
        <v>0.0</v>
      </c>
      <c r="E18" s="10" t="s">
        <v>32</v>
      </c>
      <c r="F18" s="10" t="s">
        <v>131</v>
      </c>
    </row>
    <row r="19">
      <c r="A19" s="6" t="s">
        <v>132</v>
      </c>
      <c r="B19" s="7" t="s">
        <v>96</v>
      </c>
      <c r="C19" s="7" t="s">
        <v>67</v>
      </c>
      <c r="D19" s="9">
        <v>0.0</v>
      </c>
      <c r="E19" s="10" t="s">
        <v>32</v>
      </c>
      <c r="F19" s="10" t="s">
        <v>135</v>
      </c>
    </row>
    <row r="20">
      <c r="A20" s="6" t="s">
        <v>136</v>
      </c>
      <c r="B20" s="7" t="s">
        <v>96</v>
      </c>
      <c r="C20" s="7" t="s">
        <v>72</v>
      </c>
      <c r="D20" s="9">
        <v>0.0</v>
      </c>
      <c r="E20" s="10" t="s">
        <v>32</v>
      </c>
      <c r="F20" s="10" t="s">
        <v>140</v>
      </c>
    </row>
    <row r="21" ht="15.75" customHeight="1">
      <c r="A21" s="6" t="s">
        <v>141</v>
      </c>
      <c r="B21" s="7" t="s">
        <v>142</v>
      </c>
      <c r="C21" s="7" t="s">
        <v>108</v>
      </c>
      <c r="D21" s="9">
        <v>0.0</v>
      </c>
      <c r="E21" s="10" t="s">
        <v>32</v>
      </c>
      <c r="F21" s="10" t="s">
        <v>146</v>
      </c>
    </row>
    <row r="22" ht="15.75" customHeight="1"/>
    <row r="23" ht="15.75" customHeight="1"/>
    <row r="24" ht="15.75" customHeight="1">
      <c r="A24" s="12" t="s">
        <v>147</v>
      </c>
      <c r="B24" s="15">
        <f>AVERAGE(D2:D21)</f>
        <v>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5.0"/>
    <col customWidth="1" min="3" max="3" width="20.0"/>
    <col customWidth="1" min="4" max="4" width="14.0"/>
    <col customWidth="1" min="5" max="5" width="12.0"/>
    <col customWidth="1" min="6" max="26" width="8.71"/>
  </cols>
  <sheetData>
    <row r="1">
      <c r="A1" s="2" t="s">
        <v>3</v>
      </c>
      <c r="B1" s="2" t="s">
        <v>34</v>
      </c>
      <c r="C1" s="2" t="s">
        <v>40</v>
      </c>
      <c r="D1" s="2" t="s">
        <v>44</v>
      </c>
      <c r="E1" s="2" t="s">
        <v>45</v>
      </c>
    </row>
    <row r="2">
      <c r="A2" s="6" t="s">
        <v>26</v>
      </c>
      <c r="B2" s="6" t="s">
        <v>31</v>
      </c>
      <c r="C2" s="10" t="s">
        <v>51</v>
      </c>
      <c r="D2" s="10" t="s">
        <v>51</v>
      </c>
      <c r="E2" s="10" t="s">
        <v>51</v>
      </c>
    </row>
    <row r="3">
      <c r="A3" s="6" t="s">
        <v>39</v>
      </c>
      <c r="B3" s="6" t="s">
        <v>43</v>
      </c>
      <c r="C3" s="10" t="s">
        <v>51</v>
      </c>
      <c r="D3" s="10" t="s">
        <v>51</v>
      </c>
      <c r="E3" s="10" t="s">
        <v>51</v>
      </c>
    </row>
    <row r="4">
      <c r="A4" s="6" t="s">
        <v>52</v>
      </c>
      <c r="B4" s="6" t="s">
        <v>53</v>
      </c>
      <c r="C4" s="10" t="s">
        <v>51</v>
      </c>
      <c r="D4" s="10" t="s">
        <v>51</v>
      </c>
      <c r="E4" s="10" t="s">
        <v>51</v>
      </c>
    </row>
    <row r="5">
      <c r="A5" s="6" t="s">
        <v>53</v>
      </c>
      <c r="B5" s="6" t="s">
        <v>58</v>
      </c>
      <c r="C5" s="10" t="s">
        <v>51</v>
      </c>
      <c r="D5" s="10" t="s">
        <v>51</v>
      </c>
      <c r="E5" s="10" t="s">
        <v>51</v>
      </c>
    </row>
    <row r="6">
      <c r="A6" s="6" t="s">
        <v>61</v>
      </c>
      <c r="B6" s="6" t="s">
        <v>63</v>
      </c>
      <c r="C6" s="10" t="s">
        <v>51</v>
      </c>
      <c r="D6" s="10" t="s">
        <v>51</v>
      </c>
      <c r="E6" s="10" t="s">
        <v>51</v>
      </c>
    </row>
    <row r="7">
      <c r="A7" s="6" t="s">
        <v>68</v>
      </c>
      <c r="B7" s="6" t="s">
        <v>53</v>
      </c>
      <c r="C7" s="10" t="s">
        <v>51</v>
      </c>
      <c r="D7" s="10" t="s">
        <v>51</v>
      </c>
      <c r="E7" s="10" t="s">
        <v>51</v>
      </c>
    </row>
    <row r="8">
      <c r="A8" s="6" t="s">
        <v>73</v>
      </c>
      <c r="B8" s="6" t="s">
        <v>68</v>
      </c>
      <c r="C8" s="10" t="s">
        <v>51</v>
      </c>
      <c r="D8" s="10" t="s">
        <v>51</v>
      </c>
      <c r="E8" s="10" t="s">
        <v>51</v>
      </c>
    </row>
    <row r="9">
      <c r="A9" s="6" t="s">
        <v>75</v>
      </c>
      <c r="B9" s="6" t="s">
        <v>77</v>
      </c>
      <c r="C9" s="10" t="s">
        <v>51</v>
      </c>
      <c r="D9" s="10" t="s">
        <v>51</v>
      </c>
      <c r="E9" s="10" t="s">
        <v>51</v>
      </c>
    </row>
    <row r="10">
      <c r="A10" s="6" t="s">
        <v>80</v>
      </c>
      <c r="B10" s="6" t="s">
        <v>81</v>
      </c>
      <c r="C10" s="10" t="s">
        <v>51</v>
      </c>
      <c r="D10" s="10" t="s">
        <v>51</v>
      </c>
      <c r="E10" s="10" t="s">
        <v>51</v>
      </c>
    </row>
    <row r="11">
      <c r="A11" s="6" t="s">
        <v>83</v>
      </c>
      <c r="B11" s="6" t="s">
        <v>85</v>
      </c>
      <c r="C11" s="10" t="s">
        <v>51</v>
      </c>
      <c r="D11" s="10" t="s">
        <v>51</v>
      </c>
      <c r="E11" s="10" t="s">
        <v>51</v>
      </c>
    </row>
    <row r="12">
      <c r="A12" s="6" t="s">
        <v>87</v>
      </c>
      <c r="B12" s="6" t="s">
        <v>63</v>
      </c>
      <c r="C12" s="10" t="s">
        <v>51</v>
      </c>
      <c r="D12" s="10" t="s">
        <v>51</v>
      </c>
      <c r="E12" s="10" t="s">
        <v>51</v>
      </c>
    </row>
    <row r="13">
      <c r="A13" s="6" t="s">
        <v>91</v>
      </c>
      <c r="B13" s="6" t="s">
        <v>92</v>
      </c>
      <c r="C13" s="10" t="s">
        <v>51</v>
      </c>
      <c r="D13" s="10" t="s">
        <v>51</v>
      </c>
      <c r="E13" s="10" t="s">
        <v>51</v>
      </c>
    </row>
    <row r="14">
      <c r="A14" s="6" t="s">
        <v>95</v>
      </c>
      <c r="B14" s="6" t="s">
        <v>91</v>
      </c>
      <c r="C14" s="10" t="s">
        <v>51</v>
      </c>
      <c r="D14" s="10" t="s">
        <v>51</v>
      </c>
      <c r="E14" s="10" t="s">
        <v>51</v>
      </c>
    </row>
    <row r="15">
      <c r="A15" s="6" t="s">
        <v>99</v>
      </c>
      <c r="B15" s="6" t="s">
        <v>95</v>
      </c>
      <c r="C15" s="10" t="s">
        <v>51</v>
      </c>
      <c r="D15" s="10" t="s">
        <v>51</v>
      </c>
      <c r="E15" s="10" t="s">
        <v>51</v>
      </c>
    </row>
    <row r="16">
      <c r="A16" s="6" t="s">
        <v>101</v>
      </c>
      <c r="B16" s="6" t="s">
        <v>102</v>
      </c>
      <c r="C16" s="10" t="s">
        <v>51</v>
      </c>
      <c r="D16" s="10" t="s">
        <v>51</v>
      </c>
      <c r="E16" s="10" t="s">
        <v>51</v>
      </c>
    </row>
    <row r="17">
      <c r="A17" s="6" t="s">
        <v>105</v>
      </c>
      <c r="B17" s="6" t="s">
        <v>106</v>
      </c>
      <c r="C17" s="10" t="s">
        <v>51</v>
      </c>
      <c r="D17" s="10" t="s">
        <v>51</v>
      </c>
      <c r="E17" s="10" t="s">
        <v>51</v>
      </c>
    </row>
    <row r="18">
      <c r="A18" s="6" t="s">
        <v>109</v>
      </c>
      <c r="B18" s="6" t="s">
        <v>110</v>
      </c>
      <c r="C18" s="10" t="s">
        <v>51</v>
      </c>
      <c r="D18" s="10" t="s">
        <v>51</v>
      </c>
      <c r="E18" s="10" t="s">
        <v>51</v>
      </c>
    </row>
    <row r="19">
      <c r="A19" s="6" t="s">
        <v>115</v>
      </c>
      <c r="B19" s="6" t="s">
        <v>116</v>
      </c>
      <c r="C19" s="10" t="s">
        <v>51</v>
      </c>
      <c r="D19" s="10" t="s">
        <v>51</v>
      </c>
      <c r="E19" s="10" t="s">
        <v>51</v>
      </c>
    </row>
    <row r="20">
      <c r="A20" s="6" t="s">
        <v>118</v>
      </c>
      <c r="B20" s="6" t="s">
        <v>119</v>
      </c>
      <c r="C20" s="10" t="s">
        <v>51</v>
      </c>
      <c r="D20" s="10" t="s">
        <v>51</v>
      </c>
      <c r="E20" s="10" t="s">
        <v>51</v>
      </c>
    </row>
    <row r="21" ht="15.75" customHeight="1">
      <c r="A21" s="6" t="s">
        <v>121</v>
      </c>
      <c r="B21" s="6" t="s">
        <v>122</v>
      </c>
      <c r="C21" s="10" t="s">
        <v>51</v>
      </c>
      <c r="D21" s="10" t="s">
        <v>51</v>
      </c>
      <c r="E21" s="10" t="s">
        <v>51</v>
      </c>
    </row>
    <row r="22" ht="15.75" customHeight="1"/>
    <row r="23" ht="15.75" customHeight="1"/>
    <row r="24" ht="15.75" customHeight="1">
      <c r="A24" s="12" t="s">
        <v>125</v>
      </c>
      <c r="B24" s="13">
        <f>COUNTIF(C2:C21,"Yes")</f>
        <v>0</v>
      </c>
    </row>
    <row r="25" ht="15.75" customHeight="1">
      <c r="A25" s="12" t="s">
        <v>138</v>
      </c>
      <c r="B25" s="13">
        <f>COUNTIF(D2:D21,"Yes")</f>
        <v>0</v>
      </c>
    </row>
    <row r="26" ht="15.75" customHeight="1">
      <c r="A26" s="12" t="s">
        <v>143</v>
      </c>
      <c r="B26" s="13">
        <f>COUNTIF(E2:E21,"Yes")</f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16.0"/>
    <col customWidth="1" min="3" max="4" width="14.0"/>
    <col customWidth="1" min="5" max="26" width="8.71"/>
  </cols>
  <sheetData>
    <row r="1">
      <c r="A1" s="2" t="s">
        <v>130</v>
      </c>
      <c r="B1" s="2" t="s">
        <v>3</v>
      </c>
      <c r="C1" s="2" t="s">
        <v>4</v>
      </c>
      <c r="D1" s="2" t="s">
        <v>11</v>
      </c>
    </row>
    <row r="2">
      <c r="A2" s="6" t="s">
        <v>133</v>
      </c>
      <c r="B2" s="6" t="s">
        <v>26</v>
      </c>
      <c r="C2" s="8" t="s">
        <v>27</v>
      </c>
      <c r="D2" s="10" t="s">
        <v>32</v>
      </c>
    </row>
    <row r="3">
      <c r="A3" s="6" t="s">
        <v>139</v>
      </c>
      <c r="B3" s="6" t="s">
        <v>26</v>
      </c>
      <c r="C3" s="8" t="s">
        <v>27</v>
      </c>
      <c r="D3" s="10" t="s">
        <v>32</v>
      </c>
    </row>
    <row r="4">
      <c r="A4" s="6" t="s">
        <v>144</v>
      </c>
      <c r="B4" s="6" t="s">
        <v>26</v>
      </c>
      <c r="C4" s="8" t="s">
        <v>27</v>
      </c>
      <c r="D4" s="10" t="s">
        <v>32</v>
      </c>
    </row>
    <row r="5">
      <c r="A5" s="6" t="s">
        <v>148</v>
      </c>
      <c r="B5" s="6" t="s">
        <v>26</v>
      </c>
      <c r="C5" s="8" t="s">
        <v>27</v>
      </c>
      <c r="D5" s="10" t="s">
        <v>32</v>
      </c>
    </row>
    <row r="6">
      <c r="A6" s="6" t="s">
        <v>150</v>
      </c>
      <c r="B6" s="6" t="s">
        <v>39</v>
      </c>
      <c r="C6" s="8" t="s">
        <v>27</v>
      </c>
      <c r="D6" s="10" t="s">
        <v>32</v>
      </c>
    </row>
    <row r="7">
      <c r="A7" s="6" t="s">
        <v>151</v>
      </c>
      <c r="B7" s="6" t="s">
        <v>39</v>
      </c>
      <c r="C7" s="8" t="s">
        <v>27</v>
      </c>
      <c r="D7" s="10" t="s">
        <v>32</v>
      </c>
    </row>
    <row r="8">
      <c r="A8" s="6" t="s">
        <v>153</v>
      </c>
      <c r="B8" s="6" t="s">
        <v>39</v>
      </c>
      <c r="C8" s="8" t="s">
        <v>27</v>
      </c>
      <c r="D8" s="10" t="s">
        <v>32</v>
      </c>
    </row>
    <row r="9">
      <c r="A9" s="6" t="s">
        <v>154</v>
      </c>
      <c r="B9" s="6" t="s">
        <v>52</v>
      </c>
      <c r="C9" s="8" t="s">
        <v>27</v>
      </c>
      <c r="D9" s="10" t="s">
        <v>32</v>
      </c>
    </row>
    <row r="10">
      <c r="A10" s="6" t="s">
        <v>155</v>
      </c>
      <c r="B10" s="6" t="s">
        <v>52</v>
      </c>
      <c r="C10" s="8" t="s">
        <v>27</v>
      </c>
      <c r="D10" s="10" t="s">
        <v>32</v>
      </c>
    </row>
    <row r="11">
      <c r="A11" s="6" t="s">
        <v>157</v>
      </c>
      <c r="B11" s="6" t="s">
        <v>52</v>
      </c>
      <c r="C11" s="8" t="s">
        <v>27</v>
      </c>
      <c r="D11" s="10" t="s">
        <v>32</v>
      </c>
    </row>
    <row r="12">
      <c r="A12" s="6" t="s">
        <v>159</v>
      </c>
      <c r="B12" s="6" t="s">
        <v>53</v>
      </c>
      <c r="C12" s="8" t="s">
        <v>27</v>
      </c>
      <c r="D12" s="10" t="s">
        <v>32</v>
      </c>
    </row>
    <row r="13">
      <c r="A13" s="6" t="s">
        <v>162</v>
      </c>
      <c r="B13" s="6" t="s">
        <v>53</v>
      </c>
      <c r="C13" s="8" t="s">
        <v>27</v>
      </c>
      <c r="D13" s="10" t="s">
        <v>32</v>
      </c>
    </row>
    <row r="14">
      <c r="A14" s="6" t="s">
        <v>163</v>
      </c>
      <c r="B14" s="6" t="s">
        <v>53</v>
      </c>
      <c r="C14" s="8" t="s">
        <v>27</v>
      </c>
      <c r="D14" s="10" t="s">
        <v>32</v>
      </c>
    </row>
    <row r="15">
      <c r="A15" s="6" t="s">
        <v>164</v>
      </c>
      <c r="B15" s="6" t="s">
        <v>61</v>
      </c>
      <c r="C15" s="8" t="s">
        <v>27</v>
      </c>
      <c r="D15" s="10" t="s">
        <v>32</v>
      </c>
    </row>
    <row r="16">
      <c r="A16" s="6" t="s">
        <v>165</v>
      </c>
      <c r="B16" s="6" t="s">
        <v>61</v>
      </c>
      <c r="C16" s="8" t="s">
        <v>27</v>
      </c>
      <c r="D16" s="10" t="s">
        <v>32</v>
      </c>
    </row>
    <row r="17">
      <c r="A17" s="6" t="s">
        <v>166</v>
      </c>
      <c r="B17" s="6" t="s">
        <v>68</v>
      </c>
      <c r="C17" s="8" t="s">
        <v>27</v>
      </c>
      <c r="D17" s="10" t="s">
        <v>32</v>
      </c>
    </row>
    <row r="18">
      <c r="A18" s="6" t="s">
        <v>167</v>
      </c>
      <c r="B18" s="6" t="s">
        <v>68</v>
      </c>
      <c r="C18" s="8" t="s">
        <v>27</v>
      </c>
      <c r="D18" s="10" t="s">
        <v>32</v>
      </c>
    </row>
    <row r="19">
      <c r="A19" s="6" t="s">
        <v>168</v>
      </c>
      <c r="B19" s="6" t="s">
        <v>73</v>
      </c>
      <c r="C19" s="8" t="s">
        <v>27</v>
      </c>
      <c r="D19" s="10" t="s">
        <v>32</v>
      </c>
    </row>
    <row r="20">
      <c r="A20" s="6" t="s">
        <v>169</v>
      </c>
      <c r="B20" s="6" t="s">
        <v>73</v>
      </c>
      <c r="C20" s="8" t="s">
        <v>27</v>
      </c>
      <c r="D20" s="10" t="s">
        <v>32</v>
      </c>
    </row>
    <row r="21" ht="15.75" customHeight="1">
      <c r="A21" s="6" t="s">
        <v>170</v>
      </c>
      <c r="B21" s="6" t="s">
        <v>73</v>
      </c>
      <c r="C21" s="8" t="s">
        <v>27</v>
      </c>
      <c r="D21" s="10" t="s">
        <v>32</v>
      </c>
    </row>
    <row r="22" ht="15.75" customHeight="1">
      <c r="A22" s="6" t="s">
        <v>171</v>
      </c>
      <c r="B22" s="6" t="s">
        <v>75</v>
      </c>
      <c r="C22" s="8" t="s">
        <v>27</v>
      </c>
      <c r="D22" s="10" t="s">
        <v>32</v>
      </c>
    </row>
    <row r="23" ht="15.75" customHeight="1">
      <c r="A23" s="6" t="s">
        <v>173</v>
      </c>
      <c r="B23" s="6" t="s">
        <v>75</v>
      </c>
      <c r="C23" s="8" t="s">
        <v>27</v>
      </c>
      <c r="D23" s="10" t="s">
        <v>32</v>
      </c>
    </row>
    <row r="24" ht="15.75" customHeight="1">
      <c r="A24" s="6" t="s">
        <v>175</v>
      </c>
      <c r="B24" s="6" t="s">
        <v>80</v>
      </c>
      <c r="C24" s="11" t="s">
        <v>89</v>
      </c>
      <c r="D24" s="10" t="s">
        <v>32</v>
      </c>
    </row>
    <row r="25" ht="15.75" customHeight="1">
      <c r="A25" s="6" t="s">
        <v>176</v>
      </c>
      <c r="B25" s="6" t="s">
        <v>80</v>
      </c>
      <c r="C25" s="11" t="s">
        <v>89</v>
      </c>
      <c r="D25" s="10" t="s">
        <v>32</v>
      </c>
    </row>
    <row r="26" ht="15.75" customHeight="1">
      <c r="A26" s="6" t="s">
        <v>178</v>
      </c>
      <c r="B26" s="6" t="s">
        <v>80</v>
      </c>
      <c r="C26" s="11" t="s">
        <v>89</v>
      </c>
      <c r="D26" s="10" t="s">
        <v>32</v>
      </c>
    </row>
    <row r="27" ht="15.75" customHeight="1">
      <c r="A27" s="6" t="s">
        <v>180</v>
      </c>
      <c r="B27" s="6" t="s">
        <v>83</v>
      </c>
      <c r="C27" s="11" t="s">
        <v>89</v>
      </c>
      <c r="D27" s="10" t="s">
        <v>32</v>
      </c>
    </row>
    <row r="28" ht="15.75" customHeight="1">
      <c r="A28" s="6" t="s">
        <v>181</v>
      </c>
      <c r="B28" s="6" t="s">
        <v>83</v>
      </c>
      <c r="C28" s="11" t="s">
        <v>89</v>
      </c>
      <c r="D28" s="10" t="s">
        <v>32</v>
      </c>
    </row>
    <row r="29" ht="15.75" customHeight="1">
      <c r="A29" s="6" t="s">
        <v>182</v>
      </c>
      <c r="B29" s="6" t="s">
        <v>83</v>
      </c>
      <c r="C29" s="11" t="s">
        <v>89</v>
      </c>
      <c r="D29" s="10" t="s">
        <v>32</v>
      </c>
    </row>
    <row r="30" ht="15.75" customHeight="1">
      <c r="A30" s="6" t="s">
        <v>185</v>
      </c>
      <c r="B30" s="6" t="s">
        <v>87</v>
      </c>
      <c r="C30" s="11" t="s">
        <v>89</v>
      </c>
      <c r="D30" s="10" t="s">
        <v>32</v>
      </c>
    </row>
    <row r="31" ht="15.75" customHeight="1">
      <c r="A31" s="6" t="s">
        <v>187</v>
      </c>
      <c r="B31" s="6" t="s">
        <v>87</v>
      </c>
      <c r="C31" s="11" t="s">
        <v>89</v>
      </c>
      <c r="D31" s="10" t="s">
        <v>32</v>
      </c>
    </row>
    <row r="32" ht="15.75" customHeight="1">
      <c r="A32" s="6" t="s">
        <v>189</v>
      </c>
      <c r="B32" s="6" t="s">
        <v>87</v>
      </c>
      <c r="C32" s="11" t="s">
        <v>89</v>
      </c>
      <c r="D32" s="10" t="s">
        <v>32</v>
      </c>
    </row>
    <row r="33" ht="15.75" customHeight="1">
      <c r="A33" s="6" t="s">
        <v>191</v>
      </c>
      <c r="B33" s="6" t="s">
        <v>91</v>
      </c>
      <c r="C33" s="11" t="s">
        <v>89</v>
      </c>
      <c r="D33" s="10" t="s">
        <v>32</v>
      </c>
    </row>
    <row r="34" ht="15.75" customHeight="1">
      <c r="A34" s="6" t="s">
        <v>193</v>
      </c>
      <c r="B34" s="6" t="s">
        <v>91</v>
      </c>
      <c r="C34" s="11" t="s">
        <v>89</v>
      </c>
      <c r="D34" s="10" t="s">
        <v>32</v>
      </c>
    </row>
    <row r="35" ht="15.75" customHeight="1">
      <c r="A35" s="6" t="s">
        <v>197</v>
      </c>
      <c r="B35" s="6" t="s">
        <v>95</v>
      </c>
      <c r="C35" s="11" t="s">
        <v>89</v>
      </c>
      <c r="D35" s="10" t="s">
        <v>32</v>
      </c>
    </row>
    <row r="36" ht="15.75" customHeight="1">
      <c r="A36" s="6" t="s">
        <v>201</v>
      </c>
      <c r="B36" s="6" t="s">
        <v>95</v>
      </c>
      <c r="C36" s="11" t="s">
        <v>89</v>
      </c>
      <c r="D36" s="10" t="s">
        <v>32</v>
      </c>
    </row>
    <row r="37" ht="15.75" customHeight="1">
      <c r="A37" s="6" t="s">
        <v>208</v>
      </c>
      <c r="B37" s="6" t="s">
        <v>95</v>
      </c>
      <c r="C37" s="11" t="s">
        <v>89</v>
      </c>
      <c r="D37" s="10" t="s">
        <v>32</v>
      </c>
    </row>
    <row r="38" ht="15.75" customHeight="1">
      <c r="A38" s="6" t="s">
        <v>220</v>
      </c>
      <c r="B38" s="6" t="s">
        <v>99</v>
      </c>
      <c r="C38" s="11" t="s">
        <v>89</v>
      </c>
      <c r="D38" s="10" t="s">
        <v>32</v>
      </c>
    </row>
    <row r="39" ht="15.75" customHeight="1">
      <c r="A39" s="6" t="s">
        <v>224</v>
      </c>
      <c r="B39" s="6" t="s">
        <v>99</v>
      </c>
      <c r="C39" s="11" t="s">
        <v>89</v>
      </c>
      <c r="D39" s="10" t="s">
        <v>32</v>
      </c>
    </row>
    <row r="40" ht="15.75" customHeight="1">
      <c r="A40" s="6" t="s">
        <v>227</v>
      </c>
      <c r="B40" s="6" t="s">
        <v>101</v>
      </c>
      <c r="C40" s="14" t="s">
        <v>137</v>
      </c>
      <c r="D40" s="10" t="s">
        <v>32</v>
      </c>
    </row>
    <row r="41" ht="15.75" customHeight="1">
      <c r="A41" s="6" t="s">
        <v>230</v>
      </c>
      <c r="B41" s="6" t="s">
        <v>101</v>
      </c>
      <c r="C41" s="14" t="s">
        <v>137</v>
      </c>
      <c r="D41" s="10" t="s">
        <v>32</v>
      </c>
    </row>
    <row r="42" ht="15.75" customHeight="1">
      <c r="A42" s="6" t="s">
        <v>232</v>
      </c>
      <c r="B42" s="6" t="s">
        <v>101</v>
      </c>
      <c r="C42" s="14" t="s">
        <v>137</v>
      </c>
      <c r="D42" s="10" t="s">
        <v>32</v>
      </c>
    </row>
    <row r="43" ht="15.75" customHeight="1">
      <c r="A43" s="6" t="s">
        <v>235</v>
      </c>
      <c r="B43" s="6" t="s">
        <v>105</v>
      </c>
      <c r="C43" s="14" t="s">
        <v>137</v>
      </c>
      <c r="D43" s="10" t="s">
        <v>32</v>
      </c>
    </row>
    <row r="44" ht="15.75" customHeight="1">
      <c r="A44" s="6" t="s">
        <v>237</v>
      </c>
      <c r="B44" s="6" t="s">
        <v>105</v>
      </c>
      <c r="C44" s="14" t="s">
        <v>137</v>
      </c>
      <c r="D44" s="10" t="s">
        <v>32</v>
      </c>
    </row>
    <row r="45" ht="15.75" customHeight="1">
      <c r="A45" s="6" t="s">
        <v>247</v>
      </c>
      <c r="B45" s="6" t="s">
        <v>109</v>
      </c>
      <c r="C45" s="14" t="s">
        <v>137</v>
      </c>
      <c r="D45" s="10" t="s">
        <v>32</v>
      </c>
    </row>
    <row r="46" ht="15.75" customHeight="1">
      <c r="A46" s="6" t="s">
        <v>259</v>
      </c>
      <c r="B46" s="6" t="s">
        <v>109</v>
      </c>
      <c r="C46" s="14" t="s">
        <v>137</v>
      </c>
      <c r="D46" s="10" t="s">
        <v>32</v>
      </c>
    </row>
    <row r="47" ht="15.75" customHeight="1">
      <c r="A47" s="6" t="s">
        <v>268</v>
      </c>
      <c r="B47" s="6" t="s">
        <v>115</v>
      </c>
      <c r="C47" s="14" t="s">
        <v>137</v>
      </c>
      <c r="D47" s="10" t="s">
        <v>32</v>
      </c>
    </row>
    <row r="48" ht="15.75" customHeight="1">
      <c r="A48" s="6" t="s">
        <v>277</v>
      </c>
      <c r="B48" s="6" t="s">
        <v>115</v>
      </c>
      <c r="C48" s="14" t="s">
        <v>137</v>
      </c>
      <c r="D48" s="10" t="s">
        <v>32</v>
      </c>
    </row>
    <row r="49" ht="15.75" customHeight="1">
      <c r="A49" s="6" t="s">
        <v>281</v>
      </c>
      <c r="B49" s="6" t="s">
        <v>118</v>
      </c>
      <c r="C49" s="14" t="s">
        <v>137</v>
      </c>
      <c r="D49" s="10" t="s">
        <v>32</v>
      </c>
    </row>
    <row r="50" ht="15.75" customHeight="1">
      <c r="A50" s="6" t="s">
        <v>287</v>
      </c>
      <c r="B50" s="6" t="s">
        <v>118</v>
      </c>
      <c r="C50" s="14" t="s">
        <v>137</v>
      </c>
      <c r="D50" s="10" t="s">
        <v>32</v>
      </c>
    </row>
    <row r="51" ht="15.75" customHeight="1">
      <c r="A51" s="6" t="s">
        <v>289</v>
      </c>
      <c r="B51" s="6" t="s">
        <v>121</v>
      </c>
      <c r="C51" s="14" t="s">
        <v>137</v>
      </c>
      <c r="D51" s="10" t="s">
        <v>32</v>
      </c>
    </row>
    <row r="52" ht="15.75" customHeight="1">
      <c r="A52" s="6" t="s">
        <v>292</v>
      </c>
      <c r="B52" s="6" t="s">
        <v>121</v>
      </c>
      <c r="C52" s="14" t="s">
        <v>137</v>
      </c>
      <c r="D52" s="10" t="s">
        <v>32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14.0"/>
    <col customWidth="1" min="4" max="4" width="20.0"/>
    <col customWidth="1" min="5" max="26" width="8.71"/>
  </cols>
  <sheetData>
    <row r="1">
      <c r="A1" s="2" t="s">
        <v>172</v>
      </c>
      <c r="B1" s="2" t="s">
        <v>3</v>
      </c>
      <c r="C1" s="2" t="s">
        <v>4</v>
      </c>
      <c r="D1" s="2" t="s">
        <v>174</v>
      </c>
    </row>
    <row r="2">
      <c r="A2" s="6" t="s">
        <v>53</v>
      </c>
      <c r="B2" s="6" t="s">
        <v>53</v>
      </c>
      <c r="C2" s="8" t="s">
        <v>27</v>
      </c>
      <c r="D2" s="10" t="s">
        <v>51</v>
      </c>
    </row>
    <row r="3">
      <c r="A3" s="6" t="s">
        <v>39</v>
      </c>
      <c r="B3" s="6" t="s">
        <v>39</v>
      </c>
      <c r="C3" s="8" t="s">
        <v>27</v>
      </c>
      <c r="D3" s="10" t="s">
        <v>51</v>
      </c>
    </row>
    <row r="4">
      <c r="A4" s="6" t="s">
        <v>52</v>
      </c>
      <c r="B4" s="6" t="s">
        <v>52</v>
      </c>
      <c r="C4" s="8" t="s">
        <v>27</v>
      </c>
      <c r="D4" s="10" t="s">
        <v>51</v>
      </c>
    </row>
    <row r="5">
      <c r="A5" s="6" t="s">
        <v>61</v>
      </c>
      <c r="B5" s="6" t="s">
        <v>61</v>
      </c>
      <c r="C5" s="8" t="s">
        <v>27</v>
      </c>
      <c r="D5" s="10" t="s">
        <v>51</v>
      </c>
    </row>
    <row r="6">
      <c r="A6" s="6" t="s">
        <v>177</v>
      </c>
      <c r="B6" s="6" t="s">
        <v>80</v>
      </c>
      <c r="C6" s="11" t="s">
        <v>89</v>
      </c>
      <c r="D6" s="10" t="s">
        <v>51</v>
      </c>
    </row>
    <row r="7">
      <c r="A7" s="6" t="s">
        <v>179</v>
      </c>
      <c r="B7" s="6" t="s">
        <v>80</v>
      </c>
      <c r="C7" s="11" t="s">
        <v>89</v>
      </c>
      <c r="D7" s="10" t="s">
        <v>51</v>
      </c>
    </row>
    <row r="8">
      <c r="A8" s="6" t="s">
        <v>183</v>
      </c>
      <c r="B8" s="6" t="s">
        <v>83</v>
      </c>
      <c r="C8" s="11" t="s">
        <v>89</v>
      </c>
      <c r="D8" s="10" t="s">
        <v>51</v>
      </c>
    </row>
    <row r="9">
      <c r="A9" s="6" t="s">
        <v>184</v>
      </c>
      <c r="B9" s="6" t="s">
        <v>83</v>
      </c>
      <c r="C9" s="11" t="s">
        <v>89</v>
      </c>
      <c r="D9" s="10" t="s">
        <v>51</v>
      </c>
    </row>
    <row r="10">
      <c r="A10" s="6" t="s">
        <v>186</v>
      </c>
      <c r="B10" s="6" t="s">
        <v>87</v>
      </c>
      <c r="C10" s="11" t="s">
        <v>89</v>
      </c>
      <c r="D10" s="10" t="s">
        <v>51</v>
      </c>
    </row>
    <row r="11">
      <c r="A11" s="6" t="s">
        <v>188</v>
      </c>
      <c r="B11" s="6" t="s">
        <v>91</v>
      </c>
      <c r="C11" s="11" t="s">
        <v>89</v>
      </c>
      <c r="D11" s="10" t="s">
        <v>51</v>
      </c>
    </row>
    <row r="12">
      <c r="A12" s="6" t="s">
        <v>190</v>
      </c>
      <c r="B12" s="6" t="s">
        <v>91</v>
      </c>
      <c r="C12" s="11" t="s">
        <v>89</v>
      </c>
      <c r="D12" s="10" t="s">
        <v>51</v>
      </c>
    </row>
    <row r="13">
      <c r="A13" s="6" t="s">
        <v>192</v>
      </c>
      <c r="B13" s="6" t="s">
        <v>91</v>
      </c>
      <c r="C13" s="11" t="s">
        <v>89</v>
      </c>
      <c r="D13" s="10" t="s">
        <v>51</v>
      </c>
    </row>
    <row r="14">
      <c r="A14" s="6" t="s">
        <v>95</v>
      </c>
      <c r="B14" s="6" t="s">
        <v>95</v>
      </c>
      <c r="C14" s="11" t="s">
        <v>89</v>
      </c>
      <c r="D14" s="10" t="s">
        <v>51</v>
      </c>
    </row>
    <row r="15">
      <c r="A15" s="6" t="s">
        <v>198</v>
      </c>
      <c r="B15" s="6" t="s">
        <v>99</v>
      </c>
      <c r="C15" s="11" t="s">
        <v>89</v>
      </c>
      <c r="D15" s="10" t="s">
        <v>51</v>
      </c>
    </row>
    <row r="16">
      <c r="A16" s="6" t="s">
        <v>203</v>
      </c>
      <c r="B16" s="6" t="s">
        <v>101</v>
      </c>
      <c r="C16" s="14" t="s">
        <v>137</v>
      </c>
      <c r="D16" s="10" t="s">
        <v>51</v>
      </c>
    </row>
    <row r="17">
      <c r="A17" s="6" t="s">
        <v>105</v>
      </c>
      <c r="B17" s="6" t="s">
        <v>105</v>
      </c>
      <c r="C17" s="14" t="s">
        <v>137</v>
      </c>
      <c r="D17" s="10" t="s">
        <v>51</v>
      </c>
    </row>
    <row r="18">
      <c r="A18" s="6" t="s">
        <v>115</v>
      </c>
      <c r="B18" s="6" t="s">
        <v>115</v>
      </c>
      <c r="C18" s="14" t="s">
        <v>137</v>
      </c>
      <c r="D18" s="10" t="s">
        <v>51</v>
      </c>
    </row>
    <row r="19">
      <c r="A19" s="6" t="s">
        <v>211</v>
      </c>
      <c r="B19" s="6" t="s">
        <v>118</v>
      </c>
      <c r="C19" s="14" t="s">
        <v>137</v>
      </c>
      <c r="D19" s="10" t="s">
        <v>51</v>
      </c>
    </row>
    <row r="20">
      <c r="A20" s="6" t="s">
        <v>214</v>
      </c>
      <c r="B20" s="6" t="s">
        <v>121</v>
      </c>
      <c r="C20" s="14" t="s">
        <v>137</v>
      </c>
      <c r="D20" s="10" t="s">
        <v>51</v>
      </c>
    </row>
    <row r="21" ht="15.75" customHeight="1">
      <c r="A21" s="6" t="s">
        <v>216</v>
      </c>
      <c r="B21" s="6" t="s">
        <v>218</v>
      </c>
      <c r="C21" s="8" t="s">
        <v>27</v>
      </c>
      <c r="D21" s="10" t="s">
        <v>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3" width="46.0"/>
    <col customWidth="1" min="4" max="4" width="14.0"/>
    <col customWidth="1" min="5" max="26" width="8.71"/>
  </cols>
  <sheetData>
    <row r="1">
      <c r="A1" s="2" t="s">
        <v>194</v>
      </c>
      <c r="B1" s="2" t="s">
        <v>195</v>
      </c>
      <c r="C1" s="2" t="s">
        <v>196</v>
      </c>
      <c r="D1" s="2" t="s">
        <v>11</v>
      </c>
    </row>
    <row r="2">
      <c r="A2" s="6" t="s">
        <v>199</v>
      </c>
      <c r="B2" s="6" t="s">
        <v>200</v>
      </c>
      <c r="C2" s="6" t="s">
        <v>202</v>
      </c>
      <c r="D2" s="10" t="s">
        <v>204</v>
      </c>
    </row>
    <row r="3">
      <c r="A3" s="6" t="s">
        <v>205</v>
      </c>
      <c r="B3" s="6" t="s">
        <v>206</v>
      </c>
      <c r="C3" s="6" t="s">
        <v>202</v>
      </c>
      <c r="D3" s="10" t="s">
        <v>204</v>
      </c>
    </row>
    <row r="4">
      <c r="A4" s="6" t="s">
        <v>207</v>
      </c>
      <c r="B4" s="6" t="s">
        <v>209</v>
      </c>
      <c r="C4" s="6" t="s">
        <v>210</v>
      </c>
      <c r="D4" s="10" t="s">
        <v>204</v>
      </c>
    </row>
    <row r="5">
      <c r="A5" s="6" t="s">
        <v>212</v>
      </c>
      <c r="B5" s="6" t="s">
        <v>213</v>
      </c>
      <c r="C5" s="6" t="s">
        <v>215</v>
      </c>
      <c r="D5" s="10" t="s">
        <v>204</v>
      </c>
    </row>
    <row r="6">
      <c r="A6" s="6" t="s">
        <v>217</v>
      </c>
      <c r="B6" s="6" t="s">
        <v>219</v>
      </c>
      <c r="C6" s="6" t="s">
        <v>221</v>
      </c>
      <c r="D6" s="10" t="s">
        <v>204</v>
      </c>
    </row>
    <row r="7">
      <c r="A7" s="6" t="s">
        <v>222</v>
      </c>
      <c r="B7" s="6" t="s">
        <v>223</v>
      </c>
      <c r="C7" s="6" t="s">
        <v>221</v>
      </c>
      <c r="D7" s="10" t="s">
        <v>204</v>
      </c>
    </row>
    <row r="8">
      <c r="A8" s="6" t="s">
        <v>225</v>
      </c>
      <c r="B8" s="6" t="s">
        <v>223</v>
      </c>
      <c r="C8" s="6" t="s">
        <v>226</v>
      </c>
      <c r="D8" s="10" t="s">
        <v>204</v>
      </c>
    </row>
    <row r="9">
      <c r="A9" s="6" t="s">
        <v>228</v>
      </c>
      <c r="B9" s="6" t="s">
        <v>229</v>
      </c>
      <c r="C9" s="6" t="s">
        <v>202</v>
      </c>
      <c r="D9" s="10" t="s">
        <v>204</v>
      </c>
    </row>
    <row r="10">
      <c r="A10" s="6" t="s">
        <v>231</v>
      </c>
      <c r="B10" s="6" t="s">
        <v>229</v>
      </c>
      <c r="C10" s="6" t="s">
        <v>233</v>
      </c>
      <c r="D10" s="10" t="s">
        <v>204</v>
      </c>
    </row>
    <row r="11">
      <c r="A11" s="6" t="s">
        <v>234</v>
      </c>
      <c r="B11" s="6" t="s">
        <v>236</v>
      </c>
      <c r="C11" s="6" t="s">
        <v>215</v>
      </c>
      <c r="D11" s="10" t="s">
        <v>204</v>
      </c>
    </row>
    <row r="12">
      <c r="A12" s="6" t="s">
        <v>238</v>
      </c>
      <c r="B12" s="6" t="s">
        <v>236</v>
      </c>
      <c r="C12" s="6" t="s">
        <v>240</v>
      </c>
      <c r="D12" s="10" t="s">
        <v>204</v>
      </c>
    </row>
    <row r="13">
      <c r="A13" s="6" t="s">
        <v>244</v>
      </c>
      <c r="B13" s="6" t="s">
        <v>245</v>
      </c>
      <c r="C13" s="6" t="s">
        <v>249</v>
      </c>
      <c r="D13" s="10" t="s">
        <v>204</v>
      </c>
    </row>
    <row r="14">
      <c r="A14" s="6" t="s">
        <v>253</v>
      </c>
      <c r="B14" s="6" t="s">
        <v>245</v>
      </c>
      <c r="C14" s="6" t="s">
        <v>233</v>
      </c>
      <c r="D14" s="10" t="s">
        <v>204</v>
      </c>
    </row>
    <row r="15">
      <c r="A15" s="6" t="s">
        <v>256</v>
      </c>
      <c r="B15" s="6" t="s">
        <v>258</v>
      </c>
      <c r="C15" s="6" t="s">
        <v>202</v>
      </c>
      <c r="D15" s="10" t="s">
        <v>204</v>
      </c>
    </row>
    <row r="16">
      <c r="A16" s="6" t="s">
        <v>261</v>
      </c>
      <c r="B16" s="6" t="s">
        <v>258</v>
      </c>
      <c r="C16" s="6" t="s">
        <v>233</v>
      </c>
      <c r="D16" s="10" t="s">
        <v>204</v>
      </c>
    </row>
    <row r="17">
      <c r="A17" s="6" t="s">
        <v>264</v>
      </c>
      <c r="B17" s="6" t="s">
        <v>267</v>
      </c>
      <c r="C17" s="6" t="s">
        <v>269</v>
      </c>
      <c r="D17" s="10" t="s">
        <v>204</v>
      </c>
    </row>
    <row r="18">
      <c r="A18" s="6" t="s">
        <v>270</v>
      </c>
      <c r="B18" s="6" t="s">
        <v>267</v>
      </c>
      <c r="C18" s="6" t="s">
        <v>233</v>
      </c>
      <c r="D18" s="10" t="s">
        <v>204</v>
      </c>
    </row>
    <row r="19">
      <c r="A19" s="6" t="s">
        <v>272</v>
      </c>
      <c r="B19" s="6" t="s">
        <v>273</v>
      </c>
      <c r="C19" s="6" t="s">
        <v>275</v>
      </c>
      <c r="D19" s="10" t="s">
        <v>204</v>
      </c>
    </row>
    <row r="20">
      <c r="A20" s="6" t="s">
        <v>276</v>
      </c>
      <c r="B20" s="6" t="s">
        <v>273</v>
      </c>
      <c r="C20" s="6" t="s">
        <v>202</v>
      </c>
      <c r="D20" s="10" t="s">
        <v>204</v>
      </c>
    </row>
    <row r="21" ht="15.75" customHeight="1">
      <c r="A21" s="6" t="s">
        <v>280</v>
      </c>
      <c r="B21" s="6" t="s">
        <v>282</v>
      </c>
      <c r="C21" s="6" t="s">
        <v>283</v>
      </c>
      <c r="D21" s="10" t="s">
        <v>204</v>
      </c>
    </row>
    <row r="22" ht="15.75" customHeight="1">
      <c r="A22" s="6" t="s">
        <v>284</v>
      </c>
      <c r="B22" s="6" t="s">
        <v>236</v>
      </c>
      <c r="C22" s="6" t="s">
        <v>286</v>
      </c>
      <c r="D22" s="10" t="s">
        <v>204</v>
      </c>
    </row>
    <row r="23" ht="15.75" customHeight="1">
      <c r="A23" s="6" t="s">
        <v>291</v>
      </c>
      <c r="B23" s="6" t="s">
        <v>273</v>
      </c>
      <c r="C23" s="6" t="s">
        <v>293</v>
      </c>
      <c r="D23" s="10" t="s">
        <v>204</v>
      </c>
    </row>
    <row r="24" ht="15.75" customHeight="1">
      <c r="A24" s="6" t="s">
        <v>294</v>
      </c>
      <c r="B24" s="6" t="s">
        <v>283</v>
      </c>
      <c r="C24" s="6" t="s">
        <v>295</v>
      </c>
      <c r="D24" s="10" t="s">
        <v>204</v>
      </c>
    </row>
    <row r="25" ht="15.75" customHeight="1">
      <c r="A25" s="6" t="s">
        <v>296</v>
      </c>
      <c r="B25" s="6" t="s">
        <v>282</v>
      </c>
      <c r="C25" s="6" t="s">
        <v>297</v>
      </c>
      <c r="D25" s="10" t="s">
        <v>204</v>
      </c>
    </row>
    <row r="26" ht="15.75" customHeight="1">
      <c r="A26" s="6" t="s">
        <v>298</v>
      </c>
      <c r="B26" s="6" t="s">
        <v>210</v>
      </c>
      <c r="C26" s="6" t="s">
        <v>299</v>
      </c>
      <c r="D26" s="10" t="s">
        <v>204</v>
      </c>
    </row>
    <row r="27" ht="15.75" customHeight="1">
      <c r="A27" s="6" t="s">
        <v>300</v>
      </c>
      <c r="B27" s="6" t="s">
        <v>301</v>
      </c>
      <c r="C27" s="6" t="s">
        <v>302</v>
      </c>
      <c r="D27" s="10" t="s">
        <v>204</v>
      </c>
    </row>
    <row r="28" ht="15.75" customHeight="1">
      <c r="A28" s="6" t="s">
        <v>303</v>
      </c>
      <c r="B28" s="6" t="s">
        <v>273</v>
      </c>
      <c r="C28" s="6" t="s">
        <v>304</v>
      </c>
      <c r="D28" s="10" t="s">
        <v>204</v>
      </c>
    </row>
    <row r="29" ht="15.75" customHeight="1">
      <c r="A29" s="6" t="s">
        <v>305</v>
      </c>
      <c r="B29" s="6" t="s">
        <v>306</v>
      </c>
      <c r="C29" s="6" t="s">
        <v>307</v>
      </c>
      <c r="D29" s="10" t="s">
        <v>204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2.0"/>
    <col customWidth="1" min="3" max="4" width="14.0"/>
    <col customWidth="1" min="5" max="5" width="55.0"/>
    <col customWidth="1" min="6" max="26" width="8.71"/>
  </cols>
  <sheetData>
    <row r="1">
      <c r="A1" s="2" t="s">
        <v>15</v>
      </c>
      <c r="B1" s="2" t="s">
        <v>239</v>
      </c>
      <c r="C1" s="2" t="s">
        <v>241</v>
      </c>
      <c r="D1" s="2" t="s">
        <v>242</v>
      </c>
      <c r="E1" s="2" t="s">
        <v>243</v>
      </c>
    </row>
    <row r="2">
      <c r="A2" s="6" t="s">
        <v>246</v>
      </c>
      <c r="B2" s="6" t="s">
        <v>248</v>
      </c>
      <c r="C2" s="10" t="s">
        <v>250</v>
      </c>
      <c r="D2" s="10" t="s">
        <v>251</v>
      </c>
      <c r="E2" s="6" t="s">
        <v>252</v>
      </c>
    </row>
    <row r="3">
      <c r="A3" s="6" t="s">
        <v>254</v>
      </c>
      <c r="B3" s="6" t="s">
        <v>255</v>
      </c>
      <c r="C3" s="10" t="s">
        <v>32</v>
      </c>
      <c r="D3" s="10" t="s">
        <v>251</v>
      </c>
      <c r="E3" s="6" t="s">
        <v>257</v>
      </c>
    </row>
    <row r="4">
      <c r="A4" s="6" t="s">
        <v>260</v>
      </c>
      <c r="B4" s="6" t="s">
        <v>255</v>
      </c>
      <c r="C4" s="10" t="s">
        <v>32</v>
      </c>
      <c r="D4" s="10" t="s">
        <v>251</v>
      </c>
      <c r="E4" s="6" t="s">
        <v>262</v>
      </c>
    </row>
    <row r="5">
      <c r="A5" s="6" t="s">
        <v>263</v>
      </c>
      <c r="B5" s="6" t="s">
        <v>89</v>
      </c>
      <c r="C5" s="10" t="s">
        <v>32</v>
      </c>
      <c r="D5" s="10" t="s">
        <v>251</v>
      </c>
      <c r="E5" s="6" t="s">
        <v>265</v>
      </c>
    </row>
    <row r="6">
      <c r="A6" s="6" t="s">
        <v>266</v>
      </c>
      <c r="B6" s="6" t="s">
        <v>89</v>
      </c>
      <c r="C6" s="10" t="s">
        <v>32</v>
      </c>
      <c r="D6" s="10" t="s">
        <v>251</v>
      </c>
      <c r="E6" s="6" t="s">
        <v>271</v>
      </c>
    </row>
    <row r="7">
      <c r="A7" s="6" t="s">
        <v>274</v>
      </c>
      <c r="B7" s="6" t="s">
        <v>27</v>
      </c>
      <c r="C7" s="10" t="s">
        <v>32</v>
      </c>
      <c r="D7" s="10" t="s">
        <v>251</v>
      </c>
      <c r="E7" s="6" t="s">
        <v>278</v>
      </c>
    </row>
    <row r="8">
      <c r="A8" s="6" t="s">
        <v>279</v>
      </c>
      <c r="B8" s="6" t="s">
        <v>27</v>
      </c>
      <c r="C8" s="10" t="s">
        <v>32</v>
      </c>
      <c r="D8" s="10" t="s">
        <v>251</v>
      </c>
      <c r="E8" s="6" t="s">
        <v>285</v>
      </c>
    </row>
    <row r="9">
      <c r="A9" s="6" t="s">
        <v>288</v>
      </c>
      <c r="B9" s="6" t="s">
        <v>27</v>
      </c>
      <c r="C9" s="10" t="s">
        <v>32</v>
      </c>
      <c r="D9" s="10" t="s">
        <v>251</v>
      </c>
      <c r="E9" s="6" t="s">
        <v>290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